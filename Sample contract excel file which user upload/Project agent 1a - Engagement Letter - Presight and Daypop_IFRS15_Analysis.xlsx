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toagi-my.sharepoint.com/personal/sambhav_jain_g42_ai/Documents/Documents/ai foundry/Fin ops/Fin Ops projects/files_1228_280426/"/>
    </mc:Choice>
  </mc:AlternateContent>
  <xr:revisionPtr revIDLastSave="0" documentId="8_{0C09EFCE-8C15-4139-99A2-3356CD12F613}" xr6:coauthVersionLast="47" xr6:coauthVersionMax="47" xr10:uidLastSave="{00000000-0000-0000-0000-000000000000}"/>
  <bookViews>
    <workbookView xWindow="-98" yWindow="-98" windowWidth="19396" windowHeight="11475" xr2:uid="{00000000-000D-0000-FFFF-FFFF00000000}"/>
  </bookViews>
  <sheets>
    <sheet name="Contract Summary" sheetId="1" r:id="rId1"/>
    <sheet name="5-Step Model" sheetId="2" r:id="rId2"/>
    <sheet name="Performance Obligations" sheetId="3" r:id="rId3"/>
    <sheet name="Delivery Milestones" sheetId="4" r:id="rId4"/>
    <sheet name="Invoicing Schedule" sheetId="5" r:id="rId5"/>
    <sheet name="Payment Terms" sheetId="6" r:id="rId6"/>
    <sheet name="Executive Commentary"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 i="5" l="1"/>
  <c r="E11" i="5"/>
  <c r="D11" i="5"/>
  <c r="F13" i="5" s="1"/>
  <c r="E6" i="3"/>
</calcChain>
</file>

<file path=xl/sharedStrings.xml><?xml version="1.0" encoding="utf-8"?>
<sst xmlns="http://schemas.openxmlformats.org/spreadsheetml/2006/main" count="277" uniqueCount="234">
  <si>
    <t>Contract Summary — Engagement Letter - Presight and Daypop - Signed</t>
  </si>
  <si>
    <t>Customer</t>
  </si>
  <si>
    <t>G42 Sky1 Technology Projects LLC (also referred to as 'Presight')</t>
  </si>
  <si>
    <t>Customer address</t>
  </si>
  <si>
    <t>East 59_1, National Exhibition Center, Abu Dhabi, United Arab Emirates</t>
  </si>
  <si>
    <t>Supplier / G42 entity</t>
  </si>
  <si>
    <t>Daypop Technology Projects LLC</t>
  </si>
  <si>
    <t>Contract title</t>
  </si>
  <si>
    <t>Engagement Letter No. 1 — R100 Crisis and Emergency Management Platform</t>
  </si>
  <si>
    <t>Contract / reference no.</t>
  </si>
  <si>
    <t>Engagement Letter No. 01</t>
  </si>
  <si>
    <t>Effective date</t>
  </si>
  <si>
    <t>19 September 2023</t>
  </si>
  <si>
    <t>Signing date</t>
  </si>
  <si>
    <t>Commencement date</t>
  </si>
  <si>
    <t>1 April 2023 (Start Date of Services)</t>
  </si>
  <si>
    <t>Expiry date</t>
  </si>
  <si>
    <t>31 March 2026</t>
  </si>
  <si>
    <t>Term</t>
  </si>
  <si>
    <t>3 years (1 April 2023 to 31 March 2026)</t>
  </si>
  <si>
    <t>Renewal mechanism</t>
  </si>
  <si>
    <t>Not stated; subject to the MSA term which runs to 29 February 2028</t>
  </si>
  <si>
    <t>Scope</t>
  </si>
  <si>
    <t>Design, development, deployment and 3-year operation &amp; maintenance of the R100 Crisis and Emergency Management Platform for the UAE, comprising: (1) Presentation &amp; Internal-integration Solution — One-screen Overview, Joint Command Console, R100 One, Hawk Eye/SDK/APIs, Network Management Monitoring Platform, R100 Insights, MCU Gateway, O&amp;M; and (2) Backbone Services &amp; Terminals — FMP System Core Perpetual License, Smart Connection Core &amp; Dispatching Console Perpetual License, Professional Services, Terminals (smart handsets, body cameras, mobile dome cameras, smart watches), O&amp;M.</t>
  </si>
  <si>
    <t>Total Contract Value (excl. VAT)</t>
  </si>
  <si>
    <t>Currency</t>
  </si>
  <si>
    <t>AED</t>
  </si>
  <si>
    <t>VAT treatment</t>
  </si>
  <si>
    <t>Fees stated as AED 116,051,000 EXCLUDING VAT. UAE VAT at 5% is payable in addition. Ex-VAT amount = AED 116,051,000 (IFRS 15 transaction price). VAT = AED 5,802,550. Total incl. VAT = AED 121,853,550. USD pricing basis: USD 31,600,000 at AED/USD 3.6731. Invoices must be in UAE dirhams.</t>
  </si>
  <si>
    <t>Total Contract Value (incl. VAT)</t>
  </si>
  <si>
    <t>Payment terms — headline</t>
  </si>
  <si>
    <t>Milestone-based payments per Commercial Proposal v16.1 (Appendix B). 7 payment packages: Upon Signoff + 6 bi-annual delivery packages. Payment within 60 days from invoice receipt. Advance payments (if any) require 100% advance bank guarantee. Performance Bond: 5% of total fees.</t>
  </si>
  <si>
    <t>Termination</t>
  </si>
  <si>
    <t>Governed by Clause 11 of the MSA. Either party may terminate on 2 months' written notice; immediate termination for material breach (7-day cure) or insolvency. On termination, Company pays pro-rated fees for incomplete services; Supplier refunds unearned advances.</t>
  </si>
  <si>
    <t>Liquidated damages / penalties</t>
  </si>
  <si>
    <t>Clause 2(I) of Engagement Letter: LDs apply for late delivery at a rate specified in the Technical Proposal (daily rate post-delay). Maximum LD for any single delay = 10% of value of delayed services. Clause 2(II): Rejected services carry a 1% per week penalty (max 10%) if not replaced within 3 weeks. LD payments are set off against Supplier aggregate liability cap. LDs are non-VAT items.</t>
  </si>
  <si>
    <t>Warranty</t>
  </si>
  <si>
    <t>12 months from written acceptance (or deemed acceptance 14 days after receipt without written response). During warranty, Supplier responds within SLA timeframes per Appendix C.</t>
  </si>
  <si>
    <t>Limitation of liability</t>
  </si>
  <si>
    <t>100% of Fees paid under the Engagement Letter (per MSA Clause 9.3). No indirect, consequential, incidental or loss-of-profit liability. Carve-outs for death/personal injury, fraud, and non-excludable liability.</t>
  </si>
  <si>
    <t>IP ownership</t>
  </si>
  <si>
    <t>IP in all materials created/developed by Supplier for the Company under this Engagement Letter vests in the Company (Clause 2(III) of Engagement Letter). Perpetual licence-back for Supplier's pre-existing IP (MSA Clause 8.2). Perpetual right-to-use licenses for FMP System Core and Smart Connection Core are part of the scope.</t>
  </si>
  <si>
    <t>Confidentiality</t>
  </si>
  <si>
    <t>Mutual confidentiality per MSA Clause 10. Survives termination for 1 year (Trade Secrets: indefinitely).</t>
  </si>
  <si>
    <t>Governing law &amp; dispute resolution</t>
  </si>
  <si>
    <t>Laws of England and Wales; exclusive jurisdiction of Abu Dhabi Global Markets Courts (MSA Clause 15).</t>
  </si>
  <si>
    <t>Variable consideration / bonus / penalty</t>
  </si>
  <si>
    <t>Liquidated damages (Clause 2(I) and (II)) represent variable consideration that could reduce the transaction price. Per IFRS 15.56, the constraint applies: LDs are only included in the transaction price as a negative adjustment when it is highly probable that a significant revenue reversal will not occur. At contract inception, no LDs are assumed — constraint applied. Monitor for actual LD notices.</t>
  </si>
  <si>
    <t>Significant financing component?</t>
  </si>
  <si>
    <t>No significant financing component. Although advance payments are specified (e.g., Signoff payment in June 2023, ahead of bulk delivery in Nov 2023), the advance is linked to the initial license delivery and mobilisation. The period between the advance and related performance does not exceed 12 months for the bulk of the consideration, and the primary purpose is a payment security mechanism (Performance Bond required), not a financing arrangement. Practical expedient under IFRS 15.63 may apply.</t>
  </si>
  <si>
    <t>Signatories</t>
  </si>
  <si>
    <t>G42 Sky1 Technology Projects LLC: Peng Xiao. Daypop Technology Projects LLC: Yinglun Ni (Ian Ni).</t>
  </si>
  <si>
    <t>IFRS 15 — 5-Step Model Analysis</t>
  </si>
  <si>
    <t>Step</t>
  </si>
  <si>
    <t>Title</t>
  </si>
  <si>
    <t>Contract evidence</t>
  </si>
  <si>
    <t>Accounting judgement</t>
  </si>
  <si>
    <t>Conclusion</t>
  </si>
  <si>
    <t>Identify the Contract with a Customer</t>
  </si>
  <si>
    <t>Engagement Letter No. 01 is dated 19 September 2023 and is signed by Peng Xiao (G42 Sky1) and Yinglun Ni / Ian Ni (Daypop). It specifies: Start Date 1 April 2023, End Date 31 March 2026, Fees AED 116,051,000 excluding VAT, scope per Appendix A, payment milestones per Appendix B, SLA per Appendix C, and Performance Bond of 5% of total fees. Services commenced retroactively from 1 April 2023. The Engagement Letter forms part of the MSA (Clause 2.3 of MSA) but contains all commercially material terms for the R100 Platform.</t>
  </si>
  <si>
    <t>All five IFRS 15.9 criteria are met: (a) Both parties have signed the Engagement Letter and are committed to perform. (b) Rights are clearly identified: Daypop provides the R100 Platform; G42 Sky1 pays AED 116,051,000 ex-VAT. (c) Payment terms are identifiable: 7 milestone payments per Appendix B, 60-day credit period. (d) Commercial substance exists: a significant technology platform (USD 31.6m) is exchanged for cash over 3 years. (e) Collectability is probable: G42 Sky1 is a UAE government-linked entity within the G42 Holding group; no credit risk indicators noted. The contract commenced on 1 April 2023; the Engagement Letter formalised on 19 September 2023 should be assessed to determine whether any revenue should be recognised from April to September 2023 (retroactive application — consult with auditors on the practical implications).</t>
  </si>
  <si>
    <t>A valid contract exists under IFRS 15.9 from 19 September 2023 (Engagement Letter signing date). Services retroactively commenced 1 April 2023; revenue recognition from 1 April 2023 should be assessed based on actual performance completed. IFRS 15 analysis proceeds to Steps 2–5.</t>
  </si>
  <si>
    <t>Identify the Performance Obligations</t>
  </si>
  <si>
    <t>The scope comprises two contractual streams: (1) Presentation &amp; Internal-integration (P&amp;I): development and O&amp;M of One-screen Overview, Joint Command Console, R100 One, Hawk Eye/SDK/APIs, Network Management Monitoring Platform, R100 Insights, MCU Gateway. (2) Backbone Services &amp; Terminals: FMP System Core Perpetual License, Smart Connection Core &amp; Dispatching Console Perpetual License, Professional Services (consulting, integration), Terminals (hardware), O&amp;M. The Technical Proposal (Appendix A) specifies an integrated, interdependent platform where sub-components cannot be used without the overall system. Delivery is milestone-based (6 bi-annual packages), indicating high integration. Commercial Proposal (Appendix B) prices by year and stream but the milestone structure shows interdependency across all components.</t>
  </si>
  <si>
    <t>Two performance obligations are identified, corresponding to the two contractual streams. Each stream includes ongoing services (development, professional services, O&amp;M) that are interdependent but can be assessed separately: POB-1: Presentation &amp; Internal-integration Solution (AED 59,832,268 ex-VAT, being AED 116,051,000 × 16,296,867/31,600,000). POB-2: Backbone Services &amp; Terminals (AED 56,218,732 ex-VAT, being AED 116,051,000 × 15,303,132/31,600,000). Both POBs include ongoing over-time services. The perpetual licenses within POB-2 are embedded within a broader implementation and professional services scope and cannot be used independently without the professional services — they are not separately distinct in the context of this contract (IFRS 15.27(b)), and are therefore bundled within POB-2. Both POBs are satisfied over time per IFRS 15.35(a): the customer simultaneously receives and consumes the benefits as Daypop performs.</t>
  </si>
  <si>
    <t>Two performance obligations: POB-1 (Presentation &amp; Internal-integration, AED 59,832,268) and POB-2 (Backbone Services &amp; Terminals, AED 56,218,732). Both are satisfied over time. Revenue recognised using the milestone/output method consistent with bi-annual package deliveries, as these milestones faithfully depict the transfer of control to the customer (IFRS 15.39).</t>
  </si>
  <si>
    <t>Determine the Transaction Price</t>
  </si>
  <si>
    <t>Fees: AED 116,051,000 explicitly stated as EXCLUDING VAT (Engagement Letter page 2). UAE VAT at 5% applies, giving VAT = AED 5,802,550 and gross = AED 121,853,550. USD pricing in Commercial Proposal: USD 31,600,000 total (at implicit rate AED 3.6731/USD). Invoices are to be issued in AED. Variable consideration: LDs of up to 10% of delayed service value (Clause 2(I)) and rejected service penalties of up to 10% (Clause 2(II)) create negative variable consideration. No positive variable consideration (bonuses, rebates) is noted. Significant financing component: not material (see contract summary). Non-cash consideration: nil.</t>
  </si>
  <si>
    <t>Transaction price = AED 116,051,000 (ex-VAT). VAT of AED 5,802,550 is excluded from the IFRS 15 transaction price per IFRS 15.47 (collected on behalf of tax authority). LDs are constrained per IFRS 15.56 — at contract inception, no LDs are included in the transaction price as it is highly probable no significant reversal will occur. The transaction price is entirely fixed consideration of AED 116,051,000.</t>
  </si>
  <si>
    <t>IFRS 15 transaction price = AED 116,051,000 (ex-VAT). Total invoicing = AED 121,853,550 (incl. 5% UAE VAT). No variable consideration included at inception. No significant financing component. USD 31,600,000 is the equivalent in USD; all IFRS 15 accounting is in AED.</t>
  </si>
  <si>
    <t>Allocate the Transaction Price to Performance Obligations</t>
  </si>
  <si>
    <t>Commercial Proposal (Appendix B, page 4): 3-year contract price for P&amp;I = USD 16,296,867 (51.57% of total USD 31,600,000); Backbone = USD 15,303,132 (48.43% of total). These prices are established through observable commercial negotiation and are the basis on which the parties agreed the deal — they represent the best available evidence of standalone selling price (SSP) for each stream. No standard rate card is available; observable market prices for comparable emergency management platforms are not readily available. The adjusted market assessment approach supports the contractual allocation.</t>
  </si>
  <si>
    <t>SSP for each POB is best evidenced by the prices in the Commercial Proposal, which were negotiated at arm's length. Allocation to each POB: POB-1 (P&amp;I): AED 116,051,000 × 51.57% = AED 59,832,268. POB-2 (Backbone): AED 116,051,000 × 48.43% = AED 56,218,732. No residual approach is required as both POBs have observable contractual prices. Discounts/variable consideration is allocated proportionally.</t>
  </si>
  <si>
    <t>Transaction price allocated: POB-1 = AED 59,832,268 (51.57%); POB-2 = AED 56,218,732 (48.43%). SSP determined by reference to contractual prices per Commercial Proposal (Appendix B), which represent the best available market evidence.</t>
  </si>
  <si>
    <t>Recognise Revenue When (or As) Performance Obligations Are Satisfied</t>
  </si>
  <si>
    <t>Both POBs are over-time (IFRS 15.35(a): customer simultaneously receives and consumes benefits as performance occurs). The Commercial Proposal specifies 7 billing milestones (Upon Signoff, Package 1–6) with defined delivery dates: Jun 2023, Nov 2023, May 2024, Nov 2024, May 2025, Nov 2025, May 2026. Each milestone represents a discrete package of deliverables under the RACI matrix and delivery strategy. The Technical Proposal describes an agile delivery with monthly cadence and defined release packages. Delivery packages are subject to formal acceptance by the Company.</t>
  </si>
  <si>
    <t>Revenue is recognised over time using an output method (milestone/delivery package completion). Each package delivery and acceptance event represents a faithful depiction of the transfer of control to the customer. Given the complex, multi-module nature of the platform, the milestone output method (IFRS 15.39) best depicts progress toward satisfying the performance obligations. Percentage complete for each POB is based on the proportion of milestone values completed relative to total POB value. Revenue for each POB is recognised proportionally at each package delivery, aligned to the Commercial Proposal milestone schedule.</t>
  </si>
  <si>
    <t>Revenue recognised over time using the milestone/output method. Revenue is allocated between POB-1 and POB-2 at each milestone delivery date based on the relative values of each package's P&amp;I and Backbone components as per the Commercial Proposal. Total revenue over 3 years: POB-1 = AED 59,832,268; POB-2 = AED 56,218,732; Total = AED 116,051,000.</t>
  </si>
  <si>
    <t>Performance Obligations</t>
  </si>
  <si>
    <t>POB ID</t>
  </si>
  <si>
    <t>Description</t>
  </si>
  <si>
    <t>Distinct assessment</t>
  </si>
  <si>
    <t>SSP basis</t>
  </si>
  <si>
    <t>Allocated price</t>
  </si>
  <si>
    <t>Timing</t>
  </si>
  <si>
    <t>Measurement method</t>
  </si>
  <si>
    <t>Start date</t>
  </si>
  <si>
    <t>End date</t>
  </si>
  <si>
    <t>Recognition pattern</t>
  </si>
  <si>
    <t>POB-1</t>
  </si>
  <si>
    <t>Presentation &amp; Internal-integration Solution — Development, implementation and 3-year O&amp;M of: One-screen Overview, Joint Command Console, R100 One, Hawk Eye/SDK/APIs, Network Management Monitoring Platform, R100 Insights, MCU Gateway.</t>
  </si>
  <si>
    <t>Distinct from POB-2: P&amp;I represents the application/presentation layer of the R100 platform, which can be assessed separately from the backbone infrastructure and licenses. However, the components within POB-1 are highly interdependent (all modules form the integrated R100 application suite) and are therefore bundled into a single POB. Capable of being distinct: yes (the application suite provides standalone value). Distinct in context of contract: yes — the P&amp;I stream has its own delivery milestones, pricing, and team responsibilities per RACI matrix.</t>
  </si>
  <si>
    <t>Observable contractual price per Commercial Proposal Appendix B: USD 16,296,867 (3-year total), representing 51.57% of TCV. This represents the best available evidence of SSP as the parties negotiated this allocation at arm's length.</t>
  </si>
  <si>
    <t>Over-time</t>
  </si>
  <si>
    <t>Output method — milestone/delivery package completion. Each bi-annual package delivery (Packages 1–6) plus initial signoff represents a performance event. Revenue recognised at each milestone delivery and acceptance.</t>
  </si>
  <si>
    <t>1 April 2023</t>
  </si>
  <si>
    <t>Milestone-based: revenue recognised at each of 7 delivery events over 3 years. Roughly front-loaded: ~85% of POB-1 revenue in Years 1–2 (heavy implementation phase), ~15% in Year 3 (O&amp;M).</t>
  </si>
  <si>
    <t>POB-2</t>
  </si>
  <si>
    <t>Backbone Services &amp; Terminals — FMP System Core Perpetual License, Smart Connection Core &amp; Dispatching Console Perpetual License, Professional Services (consulting, integration, training), Terminals (15 professional smart handsets, 15 body cameras, 15 mobile dome cameras, 15 smart watches, 100 terminal licences), 3-year O&amp;M of Backbone Services.</t>
  </si>
  <si>
    <t>Distinct from POB-1: the backbone services and licenses represent the infrastructure/platform layer. The perpetual licenses (FMP + Smart Connection) are embedded within a broader professional services scope that includes significant customisation and integration — the licenses cannot be used independently without the professional services. Per IFRS 15.27(b), the licenses are not separately identifiable from the professional services in the context of this contract and are bundled within POB-2. The hardware terminals are capable of being distinct (they can be used independently) but are delivered as part of a single integrated solution and are treated as part of the POB-2 bundle.</t>
  </si>
  <si>
    <t>Observable contractual price per Commercial Proposal Appendix B: USD 15,303,132 (3-year total), representing 48.43% of TCV.</t>
  </si>
  <si>
    <t>Output method — milestone/delivery package completion, consistent with POB-1. License delivery (at signoff and Package 1) represents a significant early value event; remainder is professional services and O&amp;M recognised over the 3-year term.</t>
  </si>
  <si>
    <t>Front-loaded: ~65% in Year 1 (license delivery + heavy professional services), declining to ~19% in Year 2 and ~15% in Year 3 (O&amp;M).</t>
  </si>
  <si>
    <t>TOTAL</t>
  </si>
  <si>
    <t>Delivery Milestones</t>
  </si>
  <si>
    <t>Milestone ID</t>
  </si>
  <si>
    <t>Milestone name</t>
  </si>
  <si>
    <t>Due date</t>
  </si>
  <si>
    <t>Acceptance criteria</t>
  </si>
  <si>
    <t>Linked POB</t>
  </si>
  <si>
    <t>% of POB value</t>
  </si>
  <si>
    <t>Recognition trigger</t>
  </si>
  <si>
    <t>M0</t>
  </si>
  <si>
    <t>Contract Signoff — Perpetual License Delivery (60%)</t>
  </si>
  <si>
    <t>June 2023</t>
  </si>
  <si>
    <t>Execution of Engagement Letter and delivery of FMP System Core and Smart Connection Core &amp; Dispatching Console perpetual licenses (60% of license value)</t>
  </si>
  <si>
    <t>Upon Engagement Letter signoff and license delivery — point in time for license component, aligned with overall over-time POB-2</t>
  </si>
  <si>
    <t>M1</t>
  </si>
  <si>
    <t>Package 1 Delivery</t>
  </si>
  <si>
    <t>November 2023</t>
  </si>
  <si>
    <t>Delivery of: FMP + Smart Connection perpetual licenses (remaining 40%), Year 1 Backbone Services professional services (50%), Year 1 Backbone O&amp;M (50%), Year 1 P&amp;I professional services (50%), Year 1 P&amp;I O&amp;M (50%)</t>
  </si>
  <si>
    <t>POB-1 and POB-2</t>
  </si>
  <si>
    <t>Formal customer acceptance of Package 1 deliverables per delivery and acceptance provisions of Technical Proposal and SLA (Appendix C)</t>
  </si>
  <si>
    <t>M2</t>
  </si>
  <si>
    <t>Package 2 Delivery</t>
  </si>
  <si>
    <t>May 2024</t>
  </si>
  <si>
    <t>Delivery of: Year 1 Backbone professional services (remaining 50%), Year 1 Backbone O&amp;M (remaining 50%), Year 1 P&amp;I professional services (remaining 50%), Year 1 P&amp;I O&amp;M (remaining 50%)</t>
  </si>
  <si>
    <t>Formal customer acceptance of Package 2 deliverables</t>
  </si>
  <si>
    <t>M3</t>
  </si>
  <si>
    <t>Package 3 Delivery</t>
  </si>
  <si>
    <t>November 2024</t>
  </si>
  <si>
    <t>Delivery of: Year 2 Backbone professional services (50%), Year 2 Backbone O&amp;M (50%), Year 2 P&amp;I professional services (50%), Year 2 P&amp;I O&amp;M (50%)</t>
  </si>
  <si>
    <t>Formal customer acceptance of Package 3 deliverables</t>
  </si>
  <si>
    <t>M4</t>
  </si>
  <si>
    <t>Package 4 Delivery</t>
  </si>
  <si>
    <t>May 2025</t>
  </si>
  <si>
    <t>Delivery of: Year 2 Backbone professional services (remaining 50%), Year 2 Backbone O&amp;M (remaining 50%), Year 2 P&amp;I professional services (remaining 50%), Year 2 P&amp;I O&amp;M (remaining 50%)</t>
  </si>
  <si>
    <t>Formal customer acceptance of Package 4 deliverables</t>
  </si>
  <si>
    <t>M5</t>
  </si>
  <si>
    <t>Package 5 Delivery</t>
  </si>
  <si>
    <t>November 2025</t>
  </si>
  <si>
    <t>Delivery of: Year 3 Backbone professional services (50%), Year 3 Backbone O&amp;M (50%), Year 3 P&amp;I professional services (50%), Year 3 P&amp;I O&amp;M (50%)</t>
  </si>
  <si>
    <t>Formal customer acceptance of Package 5 deliverables</t>
  </si>
  <si>
    <t>M6</t>
  </si>
  <si>
    <t>Package 6 Delivery — Final</t>
  </si>
  <si>
    <t>May 2026</t>
  </si>
  <si>
    <t>Delivery of: Year 3 Backbone professional services (remaining 50%), Year 3 Backbone O&amp;M (remaining 50%), Year 3 P&amp;I professional services (remaining 50%), Year 3 P&amp;I O&amp;M (remaining 50%). Final Acceptance Certificate issuance.</t>
  </si>
  <si>
    <t>Formal Final Acceptance Certificate issued by G42 Sky1/Presight; Performance Bond released 3 months after Final Acceptance</t>
  </si>
  <si>
    <t>Invoicing Schedule (with cash-flow prioritization)</t>
  </si>
  <si>
    <t>Inv. No.</t>
  </si>
  <si>
    <t>Invoice date</t>
  </si>
  <si>
    <t>Trigger / milestone</t>
  </si>
  <si>
    <t>Amount (excl. VAT)</t>
  </si>
  <si>
    <t>VAT</t>
  </si>
  <si>
    <t>Amount (incl. VAT)</t>
  </si>
  <si>
    <t>Payment terms</t>
  </si>
  <si>
    <t>Expected cash-in date</t>
  </si>
  <si>
    <t>Status</t>
  </si>
  <si>
    <t>Cash-Flow Priority</t>
  </si>
  <si>
    <t>Priority Notes</t>
  </si>
  <si>
    <t>INV-001</t>
  </si>
  <si>
    <t>2023-06-19</t>
  </si>
  <si>
    <t>Contract Signoff — FMP and Smart Connection perpetual licenses (60% of license value)</t>
  </si>
  <si>
    <t>Net 60 days</t>
  </si>
  <si>
    <t>2023-08-18</t>
  </si>
  <si>
    <t>Paid</t>
  </si>
  <si>
    <t>High</t>
  </si>
  <si>
    <t>Advance/license mobilisation payment — 12.3% of TCV. High priority as it triggers the Performance Bond requirement (5% of total fees = AED 5,802,550 to be provided within 20 days of this milestone). This payment was the first cash event and establishes the project.</t>
  </si>
  <si>
    <t>INV-002</t>
  </si>
  <si>
    <t>2023-11-30</t>
  </si>
  <si>
    <t>Package 1 Delivery — licenses (40% balance) + Year 1 Backbone &amp; P&amp;I services (50%)</t>
  </si>
  <si>
    <t>2024-01-29</t>
  </si>
  <si>
    <t>Largest single invoice — 30.8% of TCV (AED 35.7m). Contains remaining 40% of perpetual licenses plus 50% of Year 1 services. High priority: this is the project's largest cash event and represents bulk delivery of core platform infrastructure. Customer acceptance required.</t>
  </si>
  <si>
    <t>INV-003</t>
  </si>
  <si>
    <t>2024-05-31</t>
  </si>
  <si>
    <t>Package 2 Delivery — remaining Year 1 Backbone &amp; P&amp;I services (50%)</t>
  </si>
  <si>
    <t>2024-07-30</t>
  </si>
  <si>
    <t>Second largest invoice — 22.6% of TCV (AED 26.2m). Closes out Year 1 service obligations. High priority: delivery acceptance triggers final Year 1 revenue recognition. Monitor for any outstanding Year 1 LD exposure before accepting.</t>
  </si>
  <si>
    <t>INV-004</t>
  </si>
  <si>
    <t>2024-11-30</t>
  </si>
  <si>
    <t>Package 3 Delivery — Year 2 Backbone &amp; P&amp;I services (50%)</t>
  </si>
  <si>
    <t>2025-01-29</t>
  </si>
  <si>
    <t>Medium</t>
  </si>
  <si>
    <t>Year 2 first-half services — 10.6% of TCV. Standard bi-annual milestone. Medium priority: amounts are material (AED 12.3m) but represent routine service delivery in the maintenance and enhancement phase of the project.</t>
  </si>
  <si>
    <t>INV-005</t>
  </si>
  <si>
    <t>2025-05-31</t>
  </si>
  <si>
    <t>Package 4 Delivery — remaining Year 2 Backbone &amp; P&amp;I services (50%)</t>
  </si>
  <si>
    <t>2025-07-30</t>
  </si>
  <si>
    <t>Not yet invoiced</t>
  </si>
  <si>
    <t>Year 2 second-half services — 10.6% of TCV. Closes out Year 2 obligations. Invoice should be prepared for June 2025 dispatch following Package 4 acceptance.</t>
  </si>
  <si>
    <t>INV-006</t>
  </si>
  <si>
    <t>2025-11-30</t>
  </si>
  <si>
    <t>Package 5 Delivery — Year 3 Backbone &amp; P&amp;I services (50%)</t>
  </si>
  <si>
    <t>2026-01-29</t>
  </si>
  <si>
    <t>Low</t>
  </si>
  <si>
    <t>Year 3 first-half O&amp;M and wind-down services — 6.5% of TCV. Low priority relative to earlier milestones but monitor approaching contract end (Mar 2026). Ensure warranty period tracking is initiated from Package 5 acceptance.</t>
  </si>
  <si>
    <t>INV-007</t>
  </si>
  <si>
    <t>2026-05-31</t>
  </si>
  <si>
    <t>Package 6 Delivery — remaining Year 3 services (50%) and Final Acceptance Certificate</t>
  </si>
  <si>
    <t>2026-07-30</t>
  </si>
  <si>
    <t>Final invoice — 6.5% of TCV. Closes the contract; Final Acceptance Certificate triggers Performance Bond release (3 months after final acceptance). Note: this invoice falls outside the contract end date of 31 March 2026 — delivery into May 2026 should be confirmed with the contract manager. High importance for final revenue close-out and Performance Bond release.</t>
  </si>
  <si>
    <t>TCV check (Invoicing total excl. VAT vs Contract TCV):</t>
  </si>
  <si>
    <t>Variance →</t>
  </si>
  <si>
    <t>Payment Terms</t>
  </si>
  <si>
    <t>Credit period (days)</t>
  </si>
  <si>
    <t>Advance / mobilisation %</t>
  </si>
  <si>
    <t>First milestone (signoff) is effectively an advance/mobilisation payment (12.3% of TCV). Any further advance payments require a 100% advance bank guarantee.</t>
  </si>
  <si>
    <t>Retention %</t>
  </si>
  <si>
    <t>No formal retention; Performance Bond of 5% (AED 5,802,550) serves as performance security.</t>
  </si>
  <si>
    <t>Retention release</t>
  </si>
  <si>
    <t>Performance Bond released 3 months after Final Acceptance Certificate (Appendix D). Performance Bond must be maintained for life of contract plus 3 months.</t>
  </si>
  <si>
    <t>Late-payment interest</t>
  </si>
  <si>
    <t>Not specified in Engagement Letter (governed by MSA which is silent). UAE law default may apply.</t>
  </si>
  <si>
    <t>Contract currency</t>
  </si>
  <si>
    <t>AED (all invoices in UAE dirhams per Engagement Letter page 2)</t>
  </si>
  <si>
    <t>FX clause</t>
  </si>
  <si>
    <t>No explicit FX clause. USD pricing in Commercial Proposal; Engagement Letter fixes AED amount at AED 116,051,000. AED/USD rate implied: 3.6731. No further FX adjustment mechanism.</t>
  </si>
  <si>
    <t>Bank details (summary / redacted)</t>
  </si>
  <si>
    <t>Invoices to: Payments@G42.ai. Supplier's bank account details to be provided on each invoice.</t>
  </si>
  <si>
    <t>Other notes</t>
  </si>
  <si>
    <t>Invoices must include: amount in AED, Supplier's full business name/address, VAT registration number, time period and supply location, and Supplier's bank details. LDs are non-VAT items; Company issues non-VAT invoice for any LD deductions. Performance Bond: 5% of AED 116,051,000 = AED 5,802,550, to be submitted within 20 days of Engagement Letter signature.</t>
  </si>
  <si>
    <t>Executive Commentary</t>
  </si>
  <si>
    <t>Deal at a glance</t>
  </si>
  <si>
    <t>Engagement Letter No. 1 (dated 19 September 2023, effective from 1 April 2023) is a 3-year contract between G42 Sky1 Technology Projects LLC ('Presight') and Daypop Technology Projects LLC for the design, deployment and operation of the R100 Crisis and Emergency Management Platform in the UAE. Total contract value is AED 116,051,000 (USD 31.6m) excluding VAT, with UAE VAT of AED 5,802,550 added on each invoice for gross billings of AED 121,853,550. The scope encompasses a complex, integrated emergency management system including command-and-control applications, smart field officer tools, public reporting apps, AI insights, backbone communications infrastructure (FMP + Smart Connection perpetual licenses), hardware terminals, professional services and 3-year O&amp;M.</t>
  </si>
  <si>
    <t>Revenue recognition profile</t>
  </si>
  <si>
    <t>Both performance obligations (P&amp;I Solution: AED 59,832,268; Backbone Services &amp; Terminals: AED 56,218,732) are recognised over time under IFRS 15.35(a) using the output/milestone method. Revenue is recognised at each of 7 delivery milestones: Signoff (Jun 2023), Packages 1–6 (bi-annual, Nov 2023 through May 2026). The contract is significantly front-loaded: approximately 65% of revenue falls in FY2023–FY2024 (initial platform build and deployment), tapering to approximately 35% in FY2025–FY2026 (O&amp;M and wind-down). The perpetual software licenses (FMP + Smart Connection) embedded in POB-2 are not separately distinct in the context of this integrated delivery and are recognised over time with the broader POB-2 performance.</t>
  </si>
  <si>
    <t>Cash profile</t>
  </si>
  <si>
    <t>Cash receipts follow the 7-milestone schedule: AED 14.3m (Jun 2023) + AED 35.7m (Jan 2024) + AED 27.5m (Jul 2024) + AED 12.9m (Jan 2025) + AED 12.9m (Jul 2025) + AED 8.0m (Jan 2026) + AED 8.0m (Jul 2026), all inclusive of VAT. Peak working capital requirement occurs between Milestone M0 (Jun 2023) and M1 (Nov 2023) when Daypop funds significant development before the AED 35.7m Package 1 receipt. The largest single cash event is Invoice INV-002 (AED 37.5m incl. VAT, expected January 2024). Gross cash collected (incl. VAT) = AED 121,853,550. VAT received is a pass-through to the Federal Tax Authority.</t>
  </si>
  <si>
    <t>Key IFRS 15 judgements</t>
  </si>
  <si>
    <t>1. Performance obligation identification: The bundling of perpetual licenses with professional services within POB-2 is a significant judgement — the licenses are not separately distinct given the high level of customisation and integration required. 2. Timing of revenue recognition: The use of the milestone output method (rather than a straight-line or cost-to-cost input method) relies on the assessment that delivery packages faithfully depict the transfer of control. If actual delivery significantly diverges from the milestone schedule, the recognition method should be reassessed. 3. Variable consideration constraint: LDs of up to 10% per delayed service are constrained to zero at inception; this should be monitored as delivery progresses. 4. Retroactive commencement: Services commenced 1 April 2023 but Engagement Letter signed 19 September 2023 — revenue from April to September 2023 may need to be recognised on the basis of performance completed at signing.</t>
  </si>
  <si>
    <t>Risks &amp; watch-items</t>
  </si>
  <si>
    <t>1. LD exposure: delays against the Technical Proposal milestone schedule could trigger LDs up to 10% of delayed service value — equivalent to a maximum of AED 11.6m if all services are delayed (though this cap is per-delay, not aggregate). 2. Acceptance risk: milestone payments are contingent on customer formal acceptance; if G42 Sky1 withholds or delays acceptance, invoicing and cash receipt will be delayed. 3. FX risk: nominal but present — USD pricing in Commercial Proposal vs. fixed AED contract value; any settlement in USD could create a mismatch. 4. Retroactive commencement: revenue for Apr–Sep 2023 (before EL signing) may need to be recognised at the Engagement Letter signature date based on work completed, creating a catch-up adjustment. 5. Performance Bond: AED 5.8m must remain in place until 3 months after Final Acceptance — this is an off-balance-sheet contingent liability for Daypop. 6. Final invoice (May 2026) extends beyond the contract end date (March 2026) — delivery timeline should be clarified.</t>
  </si>
  <si>
    <t>Recommended controller actions</t>
  </si>
  <si>
    <t>1. Book the contract inception: debit Contract Asset / credit Deferred Revenue for the opening position based on work performed from 1 April 2023 to Engagement Letter signing (19 September 2023). 2. Set up the 7-invoice schedule in the billing system with trigger dates and amounts as per this analysis. 3. Confirm VAT registration details with Daypop for all invoices. 4. Monitor Package 4–6 delivery milestones (May 2025 onwards — not yet invoiced) and schedule INV-005 through INV-007 promptly upon acceptance. 5. Track LD exposure at each milestone — review technical progress reports quarterly. 6. Ensure Performance Bond receipt (AED 5,802,550) is confirmed and registered before releasing INV-001 payment. 7. Engage auditors on the retroactive commencement date (1 Apr 2023 vs. EL signing 19 Sep 2023) and quantify any catch-up revenue adjustment. 8. Note that Invoicing Schedule totals (AED 116,051,422 ex-VAT) differ from the stated TCV (AED 116,051,000) by AED 422 due to AED/USD conversion rounding — document and confirm the precise AED breakdown with Daypop.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</si>
</sst>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Red]\-#,##0.00"/>
  </numFmts>
  <fonts count="5" x14ac:knownFonts="1">
    <font>
      <sz val="11"/>
      <color theme="1"/>
      <name val="Calibri"/>
      <family val="2"/>
      <scheme val="minor"/>
    </font>
    <font>
      <b/>
      <sz val="14"/>
      <color rgb="FF1F3864"/>
      <name val="Calibri"/>
    </font>
    <font>
      <b/>
      <sz val="11"/>
      <name val="Calibri"/>
    </font>
    <font>
      <b/>
      <sz val="11"/>
      <color rgb="FFFFFFFF"/>
      <name val="Calibri"/>
    </font>
    <font>
      <b/>
      <sz val="11"/>
      <color rgb="FF1F3864"/>
      <name val="Calibri"/>
    </font>
  </fonts>
  <fills count="7">
    <fill>
      <patternFill patternType="none"/>
    </fill>
    <fill>
      <patternFill patternType="gray125"/>
    </fill>
    <fill>
      <patternFill patternType="solid">
        <fgColor rgb="FFD9E1F2"/>
        <bgColor rgb="FFD9E1F2"/>
      </patternFill>
    </fill>
    <fill>
      <patternFill patternType="solid">
        <fgColor rgb="FF1F3864"/>
        <bgColor rgb="FF1F3864"/>
      </patternFill>
    </fill>
    <fill>
      <patternFill patternType="solid">
        <fgColor rgb="FFF8CBAD"/>
        <bgColor rgb="FFF8CBAD"/>
      </patternFill>
    </fill>
    <fill>
      <patternFill patternType="solid">
        <fgColor rgb="FFFFE699"/>
        <bgColor rgb="FFFFE699"/>
      </patternFill>
    </fill>
    <fill>
      <patternFill patternType="solid">
        <fgColor rgb="FFC6EFCE"/>
        <bgColor rgb="FFC6EFCE"/>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9">
    <xf numFmtId="0" fontId="0" fillId="0" borderId="0" xfId="0"/>
    <xf numFmtId="0" fontId="2" fillId="2" borderId="1" xfId="0" applyFont="1" applyFill="1" applyBorder="1" applyAlignment="1">
      <alignment vertical="top" wrapText="1"/>
    </xf>
    <xf numFmtId="0" fontId="0" fillId="0" borderId="1" xfId="0" applyBorder="1" applyAlignment="1">
      <alignment vertical="top" wrapText="1"/>
    </xf>
    <xf numFmtId="0" fontId="3" fillId="3" borderId="1" xfId="0" applyFont="1" applyFill="1" applyBorder="1" applyAlignment="1">
      <alignment horizontal="center" vertical="center" wrapText="1"/>
    </xf>
    <xf numFmtId="0" fontId="0" fillId="0" borderId="1" xfId="0" applyBorder="1" applyAlignment="1">
      <alignment horizontal="center" vertical="center" wrapText="1"/>
    </xf>
    <xf numFmtId="4" fontId="0" fillId="0" borderId="1" xfId="0" applyNumberFormat="1" applyBorder="1" applyAlignment="1">
      <alignment vertical="top" wrapText="1"/>
    </xf>
    <xf numFmtId="0" fontId="2" fillId="0" borderId="1" xfId="0" applyFont="1" applyBorder="1" applyAlignment="1">
      <alignment vertical="top" wrapText="1"/>
    </xf>
    <xf numFmtId="4" fontId="2" fillId="0" borderId="1" xfId="0" applyNumberFormat="1" applyFont="1" applyBorder="1" applyAlignment="1">
      <alignment vertical="top" wrapText="1"/>
    </xf>
    <xf numFmtId="164" fontId="0" fillId="0" borderId="1" xfId="0" applyNumberFormat="1" applyBorder="1" applyAlignment="1">
      <alignment vertical="top"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0" borderId="0" xfId="0" applyFont="1"/>
    <xf numFmtId="4" fontId="0" fillId="0" borderId="0" xfId="0" applyNumberFormat="1"/>
    <xf numFmtId="165" fontId="0" fillId="0" borderId="0" xfId="0" applyNumberFormat="1"/>
    <xf numFmtId="0" fontId="1" fillId="0" borderId="0" xfId="0" applyFont="1"/>
    <xf numFmtId="0" fontId="0" fillId="0" borderId="0" xfId="0"/>
    <xf numFmtId="0" fontId="4"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9"/>
  <sheetViews>
    <sheetView tabSelected="1" workbookViewId="0">
      <selection sqref="A1:B1"/>
    </sheetView>
  </sheetViews>
  <sheetFormatPr defaultRowHeight="14.25" x14ac:dyDescent="0.45"/>
  <cols>
    <col min="1" max="1" width="38" customWidth="1"/>
    <col min="2" max="2" width="90" customWidth="1"/>
  </cols>
  <sheetData>
    <row r="1" spans="1:2" ht="24" customHeight="1" x14ac:dyDescent="0.55000000000000004">
      <c r="A1" s="15" t="s">
        <v>0</v>
      </c>
      <c r="B1" s="16"/>
    </row>
    <row r="3" spans="1:2" x14ac:dyDescent="0.45">
      <c r="A3" s="1" t="s">
        <v>1</v>
      </c>
      <c r="B3" s="2" t="s">
        <v>2</v>
      </c>
    </row>
    <row r="4" spans="1:2" x14ac:dyDescent="0.45">
      <c r="A4" s="1" t="s">
        <v>3</v>
      </c>
      <c r="B4" s="2" t="s">
        <v>4</v>
      </c>
    </row>
    <row r="5" spans="1:2" x14ac:dyDescent="0.45">
      <c r="A5" s="1" t="s">
        <v>5</v>
      </c>
      <c r="B5" s="2" t="s">
        <v>6</v>
      </c>
    </row>
    <row r="6" spans="1:2" x14ac:dyDescent="0.45">
      <c r="A6" s="1" t="s">
        <v>7</v>
      </c>
      <c r="B6" s="2" t="s">
        <v>8</v>
      </c>
    </row>
    <row r="7" spans="1:2" x14ac:dyDescent="0.45">
      <c r="A7" s="1" t="s">
        <v>9</v>
      </c>
      <c r="B7" s="2" t="s">
        <v>10</v>
      </c>
    </row>
    <row r="8" spans="1:2" x14ac:dyDescent="0.45">
      <c r="A8" s="1" t="s">
        <v>11</v>
      </c>
      <c r="B8" s="2" t="s">
        <v>12</v>
      </c>
    </row>
    <row r="9" spans="1:2" x14ac:dyDescent="0.45">
      <c r="A9" s="1" t="s">
        <v>13</v>
      </c>
      <c r="B9" s="2" t="s">
        <v>12</v>
      </c>
    </row>
    <row r="10" spans="1:2" x14ac:dyDescent="0.45">
      <c r="A10" s="1" t="s">
        <v>14</v>
      </c>
      <c r="B10" s="2" t="s">
        <v>15</v>
      </c>
    </row>
    <row r="11" spans="1:2" x14ac:dyDescent="0.45">
      <c r="A11" s="1" t="s">
        <v>16</v>
      </c>
      <c r="B11" s="2" t="s">
        <v>17</v>
      </c>
    </row>
    <row r="12" spans="1:2" x14ac:dyDescent="0.45">
      <c r="A12" s="1" t="s">
        <v>18</v>
      </c>
      <c r="B12" s="2" t="s">
        <v>19</v>
      </c>
    </row>
    <row r="13" spans="1:2" x14ac:dyDescent="0.45">
      <c r="A13" s="1" t="s">
        <v>20</v>
      </c>
      <c r="B13" s="2" t="s">
        <v>21</v>
      </c>
    </row>
    <row r="14" spans="1:2" ht="85.5" x14ac:dyDescent="0.45">
      <c r="A14" s="1" t="s">
        <v>22</v>
      </c>
      <c r="B14" s="2" t="s">
        <v>23</v>
      </c>
    </row>
    <row r="15" spans="1:2" x14ac:dyDescent="0.45">
      <c r="A15" s="1" t="s">
        <v>24</v>
      </c>
      <c r="B15" s="2">
        <v>116051000</v>
      </c>
    </row>
    <row r="16" spans="1:2" x14ac:dyDescent="0.45">
      <c r="A16" s="1" t="s">
        <v>25</v>
      </c>
      <c r="B16" s="2" t="s">
        <v>26</v>
      </c>
    </row>
    <row r="17" spans="1:2" ht="42.75" x14ac:dyDescent="0.45">
      <c r="A17" s="1" t="s">
        <v>27</v>
      </c>
      <c r="B17" s="2" t="s">
        <v>28</v>
      </c>
    </row>
    <row r="18" spans="1:2" x14ac:dyDescent="0.45">
      <c r="A18" s="1" t="s">
        <v>29</v>
      </c>
      <c r="B18" s="2">
        <v>121853550</v>
      </c>
    </row>
    <row r="19" spans="1:2" ht="42.75" x14ac:dyDescent="0.45">
      <c r="A19" s="1" t="s">
        <v>30</v>
      </c>
      <c r="B19" s="2" t="s">
        <v>31</v>
      </c>
    </row>
    <row r="20" spans="1:2" ht="42.75" x14ac:dyDescent="0.45">
      <c r="A20" s="1" t="s">
        <v>32</v>
      </c>
      <c r="B20" s="2" t="s">
        <v>33</v>
      </c>
    </row>
    <row r="21" spans="1:2" ht="57" x14ac:dyDescent="0.45">
      <c r="A21" s="1" t="s">
        <v>34</v>
      </c>
      <c r="B21" s="2" t="s">
        <v>35</v>
      </c>
    </row>
    <row r="22" spans="1:2" ht="28.5" x14ac:dyDescent="0.45">
      <c r="A22" s="1" t="s">
        <v>36</v>
      </c>
      <c r="B22" s="2" t="s">
        <v>37</v>
      </c>
    </row>
    <row r="23" spans="1:2" ht="28.5" x14ac:dyDescent="0.45">
      <c r="A23" s="1" t="s">
        <v>38</v>
      </c>
      <c r="B23" s="2" t="s">
        <v>39</v>
      </c>
    </row>
    <row r="24" spans="1:2" ht="42.75" x14ac:dyDescent="0.45">
      <c r="A24" s="1" t="s">
        <v>40</v>
      </c>
      <c r="B24" s="2" t="s">
        <v>41</v>
      </c>
    </row>
    <row r="25" spans="1:2" x14ac:dyDescent="0.45">
      <c r="A25" s="1" t="s">
        <v>42</v>
      </c>
      <c r="B25" s="2" t="s">
        <v>43</v>
      </c>
    </row>
    <row r="26" spans="1:2" x14ac:dyDescent="0.45">
      <c r="A26" s="1" t="s">
        <v>44</v>
      </c>
      <c r="B26" s="2" t="s">
        <v>45</v>
      </c>
    </row>
    <row r="27" spans="1:2" ht="57" x14ac:dyDescent="0.45">
      <c r="A27" s="1" t="s">
        <v>46</v>
      </c>
      <c r="B27" s="2" t="s">
        <v>47</v>
      </c>
    </row>
    <row r="28" spans="1:2" ht="71.25" x14ac:dyDescent="0.45">
      <c r="A28" s="1" t="s">
        <v>48</v>
      </c>
      <c r="B28" s="2" t="s">
        <v>49</v>
      </c>
    </row>
    <row r="29" spans="1:2" x14ac:dyDescent="0.45">
      <c r="A29" s="1" t="s">
        <v>50</v>
      </c>
      <c r="B29" s="2" t="s">
        <v>51</v>
      </c>
    </row>
  </sheetData>
  <mergeCells count="1">
    <mergeCell ref="A1:B1"/>
  </mergeCells>
  <pageMargins left="0.75" right="0.75" top="1" bottom="1" header="0.5" footer="0.5"/>
  <headerFooter>
    <oddHeader>&amp;L&amp;"Aptos"&amp;7&amp;KFF0000  &amp;1#_x000D_</oddHeader>
    <oddFooter xml:space="preserve">&amp;L_x000D_&amp;1#&amp;"Aptos"&amp;7&amp;KFF0000 RESTRICTED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
  <sheetViews>
    <sheetView workbookViewId="0">
      <selection sqref="A1:E1"/>
    </sheetView>
  </sheetViews>
  <sheetFormatPr defaultRowHeight="14.25" x14ac:dyDescent="0.45"/>
  <cols>
    <col min="1" max="1" width="8" customWidth="1"/>
    <col min="2" max="2" width="32" customWidth="1"/>
    <col min="3" max="5" width="50" customWidth="1"/>
  </cols>
  <sheetData>
    <row r="1" spans="1:5" ht="18" x14ac:dyDescent="0.55000000000000004">
      <c r="A1" s="15" t="s">
        <v>52</v>
      </c>
      <c r="B1" s="16"/>
      <c r="C1" s="16"/>
      <c r="D1" s="16"/>
      <c r="E1" s="16"/>
    </row>
    <row r="3" spans="1:5" x14ac:dyDescent="0.45">
      <c r="A3" s="3" t="s">
        <v>53</v>
      </c>
      <c r="B3" s="3" t="s">
        <v>54</v>
      </c>
      <c r="C3" s="3" t="s">
        <v>55</v>
      </c>
      <c r="D3" s="3" t="s">
        <v>56</v>
      </c>
      <c r="E3" s="3" t="s">
        <v>57</v>
      </c>
    </row>
    <row r="4" spans="1:5" ht="110" customHeight="1" x14ac:dyDescent="0.45">
      <c r="A4" s="4">
        <v>1</v>
      </c>
      <c r="B4" s="2" t="s">
        <v>58</v>
      </c>
      <c r="C4" s="2" t="s">
        <v>59</v>
      </c>
      <c r="D4" s="2" t="s">
        <v>60</v>
      </c>
      <c r="E4" s="2" t="s">
        <v>61</v>
      </c>
    </row>
    <row r="5" spans="1:5" ht="110" customHeight="1" x14ac:dyDescent="0.45">
      <c r="A5" s="4">
        <v>2</v>
      </c>
      <c r="B5" s="2" t="s">
        <v>62</v>
      </c>
      <c r="C5" s="2" t="s">
        <v>63</v>
      </c>
      <c r="D5" s="2" t="s">
        <v>64</v>
      </c>
      <c r="E5" s="2" t="s">
        <v>65</v>
      </c>
    </row>
    <row r="6" spans="1:5" ht="110" customHeight="1" x14ac:dyDescent="0.45">
      <c r="A6" s="4">
        <v>3</v>
      </c>
      <c r="B6" s="2" t="s">
        <v>66</v>
      </c>
      <c r="C6" s="2" t="s">
        <v>67</v>
      </c>
      <c r="D6" s="2" t="s">
        <v>68</v>
      </c>
      <c r="E6" s="2" t="s">
        <v>69</v>
      </c>
    </row>
    <row r="7" spans="1:5" ht="110" customHeight="1" x14ac:dyDescent="0.45">
      <c r="A7" s="4">
        <v>4</v>
      </c>
      <c r="B7" s="2" t="s">
        <v>70</v>
      </c>
      <c r="C7" s="2" t="s">
        <v>71</v>
      </c>
      <c r="D7" s="2" t="s">
        <v>72</v>
      </c>
      <c r="E7" s="2" t="s">
        <v>73</v>
      </c>
    </row>
    <row r="8" spans="1:5" ht="110" customHeight="1" x14ac:dyDescent="0.45">
      <c r="A8" s="4">
        <v>5</v>
      </c>
      <c r="B8" s="2" t="s">
        <v>74</v>
      </c>
      <c r="C8" s="2" t="s">
        <v>75</v>
      </c>
      <c r="D8" s="2" t="s">
        <v>76</v>
      </c>
      <c r="E8" s="2" t="s">
        <v>77</v>
      </c>
    </row>
  </sheetData>
  <mergeCells count="1">
    <mergeCell ref="A1:E1"/>
  </mergeCells>
  <pageMargins left="0.75" right="0.75" top="1" bottom="1" header="0.5" footer="0.5"/>
  <headerFooter>
    <oddHeader>&amp;L&amp;"Aptos"&amp;7&amp;KFF0000  &amp;1#_x000D_</oddHeader>
    <oddFooter xml:space="preserve">&amp;L_x000D_&amp;1#&amp;"Aptos"&amp;7&amp;KFF0000 RESTRICTED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
  <sheetViews>
    <sheetView workbookViewId="0">
      <selection sqref="A1:J1"/>
    </sheetView>
  </sheetViews>
  <sheetFormatPr defaultRowHeight="14.25" x14ac:dyDescent="0.45"/>
  <cols>
    <col min="1" max="1" width="10" customWidth="1"/>
    <col min="2" max="2" width="40" customWidth="1"/>
    <col min="3" max="3" width="36" customWidth="1"/>
    <col min="4" max="4" width="28" customWidth="1"/>
    <col min="5" max="5" width="16" customWidth="1"/>
    <col min="6" max="6" width="14" customWidth="1"/>
    <col min="7" max="7" width="26" customWidth="1"/>
    <col min="8" max="9" width="14" customWidth="1"/>
    <col min="10" max="10" width="36" customWidth="1"/>
  </cols>
  <sheetData>
    <row r="1" spans="1:10" ht="18" x14ac:dyDescent="0.55000000000000004">
      <c r="A1" s="15" t="s">
        <v>78</v>
      </c>
      <c r="B1" s="16"/>
      <c r="C1" s="16"/>
      <c r="D1" s="16"/>
      <c r="E1" s="16"/>
      <c r="F1" s="16"/>
      <c r="G1" s="16"/>
      <c r="H1" s="16"/>
      <c r="I1" s="16"/>
      <c r="J1" s="16"/>
    </row>
    <row r="3" spans="1:10" x14ac:dyDescent="0.45">
      <c r="A3" s="3" t="s">
        <v>79</v>
      </c>
      <c r="B3" s="3" t="s">
        <v>80</v>
      </c>
      <c r="C3" s="3" t="s">
        <v>81</v>
      </c>
      <c r="D3" s="3" t="s">
        <v>82</v>
      </c>
      <c r="E3" s="3" t="s">
        <v>83</v>
      </c>
      <c r="F3" s="3" t="s">
        <v>84</v>
      </c>
      <c r="G3" s="3" t="s">
        <v>85</v>
      </c>
      <c r="H3" s="3" t="s">
        <v>86</v>
      </c>
      <c r="I3" s="3" t="s">
        <v>87</v>
      </c>
      <c r="J3" s="3" t="s">
        <v>88</v>
      </c>
    </row>
    <row r="4" spans="1:10" ht="60" customHeight="1" x14ac:dyDescent="0.45">
      <c r="A4" s="2" t="s">
        <v>89</v>
      </c>
      <c r="B4" s="2" t="s">
        <v>90</v>
      </c>
      <c r="C4" s="2" t="s">
        <v>91</v>
      </c>
      <c r="D4" s="2" t="s">
        <v>92</v>
      </c>
      <c r="E4" s="5">
        <v>59832268</v>
      </c>
      <c r="F4" s="2" t="s">
        <v>93</v>
      </c>
      <c r="G4" s="2" t="s">
        <v>94</v>
      </c>
      <c r="H4" s="2" t="s">
        <v>95</v>
      </c>
      <c r="I4" s="2" t="s">
        <v>17</v>
      </c>
      <c r="J4" s="2" t="s">
        <v>96</v>
      </c>
    </row>
    <row r="5" spans="1:10" ht="60" customHeight="1" x14ac:dyDescent="0.45">
      <c r="A5" s="2" t="s">
        <v>97</v>
      </c>
      <c r="B5" s="2" t="s">
        <v>98</v>
      </c>
      <c r="C5" s="2" t="s">
        <v>99</v>
      </c>
      <c r="D5" s="2" t="s">
        <v>100</v>
      </c>
      <c r="E5" s="5">
        <v>56218732</v>
      </c>
      <c r="F5" s="2" t="s">
        <v>93</v>
      </c>
      <c r="G5" s="2" t="s">
        <v>101</v>
      </c>
      <c r="H5" s="2" t="s">
        <v>95</v>
      </c>
      <c r="I5" s="2" t="s">
        <v>17</v>
      </c>
      <c r="J5" s="2" t="s">
        <v>102</v>
      </c>
    </row>
    <row r="6" spans="1:10" x14ac:dyDescent="0.45">
      <c r="A6" s="6" t="s">
        <v>103</v>
      </c>
      <c r="B6" s="2"/>
      <c r="C6" s="2"/>
      <c r="D6" s="2"/>
      <c r="E6" s="7">
        <f>SUM(E4:E5)</f>
        <v>116051000</v>
      </c>
      <c r="F6" s="2"/>
      <c r="G6" s="2"/>
      <c r="H6" s="2"/>
      <c r="I6" s="2"/>
      <c r="J6" s="2"/>
    </row>
  </sheetData>
  <mergeCells count="1">
    <mergeCell ref="A1:J1"/>
  </mergeCells>
  <pageMargins left="0.75" right="0.75" top="1" bottom="1" header="0.5" footer="0.5"/>
  <headerFooter>
    <oddHeader>&amp;L&amp;"Aptos"&amp;7&amp;KFF0000  &amp;1#_x000D_</oddHeader>
    <oddFooter xml:space="preserve">&amp;L_x000D_&amp;1#&amp;"Aptos"&amp;7&amp;KFF0000 RESTRICTED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
  <sheetViews>
    <sheetView workbookViewId="0">
      <selection sqref="A1:G1"/>
    </sheetView>
  </sheetViews>
  <sheetFormatPr defaultRowHeight="14.25" x14ac:dyDescent="0.45"/>
  <cols>
    <col min="1" max="1" width="12" customWidth="1"/>
    <col min="2" max="2" width="32" customWidth="1"/>
    <col min="3" max="3" width="14" customWidth="1"/>
    <col min="4" max="4" width="40" customWidth="1"/>
    <col min="5" max="6" width="14" customWidth="1"/>
    <col min="7" max="7" width="36" customWidth="1"/>
  </cols>
  <sheetData>
    <row r="1" spans="1:7" ht="18" x14ac:dyDescent="0.55000000000000004">
      <c r="A1" s="15" t="s">
        <v>104</v>
      </c>
      <c r="B1" s="16"/>
      <c r="C1" s="16"/>
      <c r="D1" s="16"/>
      <c r="E1" s="16"/>
      <c r="F1" s="16"/>
      <c r="G1" s="16"/>
    </row>
    <row r="3" spans="1:7" x14ac:dyDescent="0.45">
      <c r="A3" s="3" t="s">
        <v>105</v>
      </c>
      <c r="B3" s="3" t="s">
        <v>106</v>
      </c>
      <c r="C3" s="3" t="s">
        <v>107</v>
      </c>
      <c r="D3" s="3" t="s">
        <v>108</v>
      </c>
      <c r="E3" s="3" t="s">
        <v>109</v>
      </c>
      <c r="F3" s="3" t="s">
        <v>110</v>
      </c>
      <c r="G3" s="3" t="s">
        <v>111</v>
      </c>
    </row>
    <row r="4" spans="1:7" ht="45" customHeight="1" x14ac:dyDescent="0.45">
      <c r="A4" s="2" t="s">
        <v>112</v>
      </c>
      <c r="B4" s="2" t="s">
        <v>113</v>
      </c>
      <c r="C4" s="2" t="s">
        <v>114</v>
      </c>
      <c r="D4" s="2" t="s">
        <v>115</v>
      </c>
      <c r="E4" s="2" t="s">
        <v>97</v>
      </c>
      <c r="F4" s="8">
        <v>24.7</v>
      </c>
      <c r="G4" s="2" t="s">
        <v>116</v>
      </c>
    </row>
    <row r="5" spans="1:7" ht="45" customHeight="1" x14ac:dyDescent="0.45">
      <c r="A5" s="2" t="s">
        <v>117</v>
      </c>
      <c r="B5" s="2" t="s">
        <v>118</v>
      </c>
      <c r="C5" s="2" t="s">
        <v>119</v>
      </c>
      <c r="D5" s="2" t="s">
        <v>120</v>
      </c>
      <c r="E5" s="2" t="s">
        <v>121</v>
      </c>
      <c r="F5" s="8">
        <v>30.8</v>
      </c>
      <c r="G5" s="2" t="s">
        <v>122</v>
      </c>
    </row>
    <row r="6" spans="1:7" ht="45" customHeight="1" x14ac:dyDescent="0.45">
      <c r="A6" s="2" t="s">
        <v>123</v>
      </c>
      <c r="B6" s="2" t="s">
        <v>124</v>
      </c>
      <c r="C6" s="2" t="s">
        <v>125</v>
      </c>
      <c r="D6" s="2" t="s">
        <v>126</v>
      </c>
      <c r="E6" s="2" t="s">
        <v>121</v>
      </c>
      <c r="F6" s="8">
        <v>22.6</v>
      </c>
      <c r="G6" s="2" t="s">
        <v>127</v>
      </c>
    </row>
    <row r="7" spans="1:7" ht="45" customHeight="1" x14ac:dyDescent="0.45">
      <c r="A7" s="2" t="s">
        <v>128</v>
      </c>
      <c r="B7" s="2" t="s">
        <v>129</v>
      </c>
      <c r="C7" s="2" t="s">
        <v>130</v>
      </c>
      <c r="D7" s="2" t="s">
        <v>131</v>
      </c>
      <c r="E7" s="2" t="s">
        <v>121</v>
      </c>
      <c r="F7" s="8">
        <v>10.6</v>
      </c>
      <c r="G7" s="2" t="s">
        <v>132</v>
      </c>
    </row>
    <row r="8" spans="1:7" ht="45" customHeight="1" x14ac:dyDescent="0.45">
      <c r="A8" s="2" t="s">
        <v>133</v>
      </c>
      <c r="B8" s="2" t="s">
        <v>134</v>
      </c>
      <c r="C8" s="2" t="s">
        <v>135</v>
      </c>
      <c r="D8" s="2" t="s">
        <v>136</v>
      </c>
      <c r="E8" s="2" t="s">
        <v>121</v>
      </c>
      <c r="F8" s="8">
        <v>10.6</v>
      </c>
      <c r="G8" s="2" t="s">
        <v>137</v>
      </c>
    </row>
    <row r="9" spans="1:7" ht="45" customHeight="1" x14ac:dyDescent="0.45">
      <c r="A9" s="2" t="s">
        <v>138</v>
      </c>
      <c r="B9" s="2" t="s">
        <v>139</v>
      </c>
      <c r="C9" s="2" t="s">
        <v>140</v>
      </c>
      <c r="D9" s="2" t="s">
        <v>141</v>
      </c>
      <c r="E9" s="2" t="s">
        <v>121</v>
      </c>
      <c r="F9" s="8">
        <v>6.5</v>
      </c>
      <c r="G9" s="2" t="s">
        <v>142</v>
      </c>
    </row>
    <row r="10" spans="1:7" ht="45" customHeight="1" x14ac:dyDescent="0.45">
      <c r="A10" s="2" t="s">
        <v>143</v>
      </c>
      <c r="B10" s="2" t="s">
        <v>144</v>
      </c>
      <c r="C10" s="2" t="s">
        <v>145</v>
      </c>
      <c r="D10" s="2" t="s">
        <v>146</v>
      </c>
      <c r="E10" s="2" t="s">
        <v>121</v>
      </c>
      <c r="F10" s="8">
        <v>6.5</v>
      </c>
      <c r="G10" s="2" t="s">
        <v>147</v>
      </c>
    </row>
  </sheetData>
  <mergeCells count="1">
    <mergeCell ref="A1:G1"/>
  </mergeCells>
  <pageMargins left="0.75" right="0.75" top="1" bottom="1" header="0.5" footer="0.5"/>
  <headerFooter>
    <oddHeader>&amp;L&amp;"Aptos"&amp;7&amp;KFF0000  &amp;1#_x000D_</oddHeader>
    <oddFooter xml:space="preserve">&amp;L_x000D_&amp;1#&amp;"Aptos"&amp;7&amp;KFF0000 RESTRICTED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3"/>
  <sheetViews>
    <sheetView workbookViewId="0">
      <pane ySplit="3" topLeftCell="A4" activePane="bottomLeft" state="frozen"/>
      <selection pane="bottomLeft" sqref="A1:M1"/>
    </sheetView>
  </sheetViews>
  <sheetFormatPr defaultRowHeight="14.25" x14ac:dyDescent="0.45"/>
  <cols>
    <col min="1" max="1" width="10" customWidth="1"/>
    <col min="2" max="2" width="14" customWidth="1"/>
    <col min="3" max="3" width="30" customWidth="1"/>
    <col min="4" max="4" width="16" customWidth="1"/>
    <col min="5" max="5" width="12" customWidth="1"/>
    <col min="6" max="6" width="16" customWidth="1"/>
    <col min="7" max="7" width="10" customWidth="1"/>
    <col min="8" max="9" width="18" customWidth="1"/>
    <col min="10" max="11" width="14" customWidth="1"/>
    <col min="12" max="12" width="16" customWidth="1"/>
    <col min="13" max="13" width="44" customWidth="1"/>
  </cols>
  <sheetData>
    <row r="1" spans="1:13" ht="18" x14ac:dyDescent="0.55000000000000004">
      <c r="A1" s="15" t="s">
        <v>148</v>
      </c>
      <c r="B1" s="16"/>
      <c r="C1" s="16"/>
      <c r="D1" s="16"/>
      <c r="E1" s="16"/>
      <c r="F1" s="16"/>
      <c r="G1" s="16"/>
      <c r="H1" s="16"/>
      <c r="I1" s="16"/>
      <c r="J1" s="16"/>
      <c r="K1" s="16"/>
      <c r="L1" s="16"/>
      <c r="M1" s="16"/>
    </row>
    <row r="3" spans="1:13" ht="28.5" x14ac:dyDescent="0.45">
      <c r="A3" s="3" t="s">
        <v>149</v>
      </c>
      <c r="B3" s="3" t="s">
        <v>150</v>
      </c>
      <c r="C3" s="3" t="s">
        <v>151</v>
      </c>
      <c r="D3" s="3" t="s">
        <v>152</v>
      </c>
      <c r="E3" s="3" t="s">
        <v>153</v>
      </c>
      <c r="F3" s="3" t="s">
        <v>154</v>
      </c>
      <c r="G3" s="3" t="s">
        <v>25</v>
      </c>
      <c r="H3" s="3" t="s">
        <v>155</v>
      </c>
      <c r="I3" s="3" t="s">
        <v>156</v>
      </c>
      <c r="J3" s="3" t="s">
        <v>109</v>
      </c>
      <c r="K3" s="3" t="s">
        <v>157</v>
      </c>
      <c r="L3" s="3" t="s">
        <v>158</v>
      </c>
      <c r="M3" s="3" t="s">
        <v>159</v>
      </c>
    </row>
    <row r="4" spans="1:13" ht="50" customHeight="1" x14ac:dyDescent="0.45">
      <c r="A4" s="2" t="s">
        <v>160</v>
      </c>
      <c r="B4" s="2" t="s">
        <v>161</v>
      </c>
      <c r="C4" s="2" t="s">
        <v>162</v>
      </c>
      <c r="D4" s="5">
        <v>14278385</v>
      </c>
      <c r="E4" s="5">
        <v>713919</v>
      </c>
      <c r="F4" s="5">
        <v>14992304</v>
      </c>
      <c r="G4" s="2" t="s">
        <v>26</v>
      </c>
      <c r="H4" s="2" t="s">
        <v>163</v>
      </c>
      <c r="I4" s="2" t="s">
        <v>164</v>
      </c>
      <c r="J4" s="2" t="s">
        <v>97</v>
      </c>
      <c r="K4" s="2" t="s">
        <v>165</v>
      </c>
      <c r="L4" s="9" t="s">
        <v>166</v>
      </c>
      <c r="M4" s="2" t="s">
        <v>167</v>
      </c>
    </row>
    <row r="5" spans="1:13" ht="50" customHeight="1" x14ac:dyDescent="0.45">
      <c r="A5" s="2" t="s">
        <v>168</v>
      </c>
      <c r="B5" s="2" t="s">
        <v>169</v>
      </c>
      <c r="C5" s="2" t="s">
        <v>170</v>
      </c>
      <c r="D5" s="5">
        <v>35742827</v>
      </c>
      <c r="E5" s="5">
        <v>1787141</v>
      </c>
      <c r="F5" s="5">
        <v>37529968</v>
      </c>
      <c r="G5" s="2" t="s">
        <v>26</v>
      </c>
      <c r="H5" s="2" t="s">
        <v>163</v>
      </c>
      <c r="I5" s="2" t="s">
        <v>171</v>
      </c>
      <c r="J5" s="2" t="s">
        <v>121</v>
      </c>
      <c r="K5" s="2" t="s">
        <v>165</v>
      </c>
      <c r="L5" s="9" t="s">
        <v>166</v>
      </c>
      <c r="M5" s="2" t="s">
        <v>172</v>
      </c>
    </row>
    <row r="6" spans="1:13" ht="50" customHeight="1" x14ac:dyDescent="0.45">
      <c r="A6" s="2" t="s">
        <v>173</v>
      </c>
      <c r="B6" s="2" t="s">
        <v>174</v>
      </c>
      <c r="C6" s="2" t="s">
        <v>175</v>
      </c>
      <c r="D6" s="5">
        <v>26233352</v>
      </c>
      <c r="E6" s="5">
        <v>1311668</v>
      </c>
      <c r="F6" s="5">
        <v>27545020</v>
      </c>
      <c r="G6" s="2" t="s">
        <v>26</v>
      </c>
      <c r="H6" s="2" t="s">
        <v>163</v>
      </c>
      <c r="I6" s="2" t="s">
        <v>176</v>
      </c>
      <c r="J6" s="2" t="s">
        <v>121</v>
      </c>
      <c r="K6" s="2" t="s">
        <v>165</v>
      </c>
      <c r="L6" s="9" t="s">
        <v>166</v>
      </c>
      <c r="M6" s="2" t="s">
        <v>177</v>
      </c>
    </row>
    <row r="7" spans="1:13" ht="50" customHeight="1" x14ac:dyDescent="0.45">
      <c r="A7" s="2" t="s">
        <v>178</v>
      </c>
      <c r="B7" s="2" t="s">
        <v>179</v>
      </c>
      <c r="C7" s="2" t="s">
        <v>180</v>
      </c>
      <c r="D7" s="5">
        <v>12322932</v>
      </c>
      <c r="E7" s="5">
        <v>616147</v>
      </c>
      <c r="F7" s="5">
        <v>12939079</v>
      </c>
      <c r="G7" s="2" t="s">
        <v>26</v>
      </c>
      <c r="H7" s="2" t="s">
        <v>163</v>
      </c>
      <c r="I7" s="2" t="s">
        <v>181</v>
      </c>
      <c r="J7" s="2" t="s">
        <v>121</v>
      </c>
      <c r="K7" s="2" t="s">
        <v>165</v>
      </c>
      <c r="L7" s="10" t="s">
        <v>182</v>
      </c>
      <c r="M7" s="2" t="s">
        <v>183</v>
      </c>
    </row>
    <row r="8" spans="1:13" ht="50" customHeight="1" x14ac:dyDescent="0.45">
      <c r="A8" s="2" t="s">
        <v>184</v>
      </c>
      <c r="B8" s="2" t="s">
        <v>185</v>
      </c>
      <c r="C8" s="2" t="s">
        <v>186</v>
      </c>
      <c r="D8" s="5">
        <v>12322932</v>
      </c>
      <c r="E8" s="5">
        <v>616147</v>
      </c>
      <c r="F8" s="5">
        <v>12939079</v>
      </c>
      <c r="G8" s="2" t="s">
        <v>26</v>
      </c>
      <c r="H8" s="2" t="s">
        <v>163</v>
      </c>
      <c r="I8" s="2" t="s">
        <v>187</v>
      </c>
      <c r="J8" s="2" t="s">
        <v>121</v>
      </c>
      <c r="K8" s="2" t="s">
        <v>188</v>
      </c>
      <c r="L8" s="10" t="s">
        <v>182</v>
      </c>
      <c r="M8" s="2" t="s">
        <v>189</v>
      </c>
    </row>
    <row r="9" spans="1:13" ht="50" customHeight="1" x14ac:dyDescent="0.45">
      <c r="A9" s="2" t="s">
        <v>190</v>
      </c>
      <c r="B9" s="2" t="s">
        <v>191</v>
      </c>
      <c r="C9" s="2" t="s">
        <v>192</v>
      </c>
      <c r="D9" s="5">
        <v>7575997</v>
      </c>
      <c r="E9" s="5">
        <v>378800</v>
      </c>
      <c r="F9" s="5">
        <v>7954797</v>
      </c>
      <c r="G9" s="2" t="s">
        <v>26</v>
      </c>
      <c r="H9" s="2" t="s">
        <v>163</v>
      </c>
      <c r="I9" s="2" t="s">
        <v>193</v>
      </c>
      <c r="J9" s="2" t="s">
        <v>121</v>
      </c>
      <c r="K9" s="2" t="s">
        <v>188</v>
      </c>
      <c r="L9" s="11" t="s">
        <v>194</v>
      </c>
      <c r="M9" s="2" t="s">
        <v>195</v>
      </c>
    </row>
    <row r="10" spans="1:13" ht="50" customHeight="1" x14ac:dyDescent="0.45">
      <c r="A10" s="2" t="s">
        <v>196</v>
      </c>
      <c r="B10" s="2" t="s">
        <v>197</v>
      </c>
      <c r="C10" s="2" t="s">
        <v>198</v>
      </c>
      <c r="D10" s="5">
        <v>7575997</v>
      </c>
      <c r="E10" s="5">
        <v>378800</v>
      </c>
      <c r="F10" s="5">
        <v>7954797</v>
      </c>
      <c r="G10" s="2" t="s">
        <v>26</v>
      </c>
      <c r="H10" s="2" t="s">
        <v>163</v>
      </c>
      <c r="I10" s="2" t="s">
        <v>199</v>
      </c>
      <c r="J10" s="2" t="s">
        <v>121</v>
      </c>
      <c r="K10" s="2" t="s">
        <v>188</v>
      </c>
      <c r="L10" s="10" t="s">
        <v>182</v>
      </c>
      <c r="M10" s="2" t="s">
        <v>200</v>
      </c>
    </row>
    <row r="11" spans="1:13" x14ac:dyDescent="0.45">
      <c r="A11" s="2"/>
      <c r="B11" s="2"/>
      <c r="C11" s="6" t="s">
        <v>103</v>
      </c>
      <c r="D11" s="7">
        <f>SUM(D4:D10)</f>
        <v>116052422</v>
      </c>
      <c r="E11" s="7">
        <f>SUM(E4:E10)</f>
        <v>5802622</v>
      </c>
      <c r="F11" s="7">
        <f>SUM(F4:F10)</f>
        <v>121855044</v>
      </c>
      <c r="G11" s="2"/>
      <c r="H11" s="2"/>
      <c r="I11" s="2"/>
      <c r="J11" s="2"/>
      <c r="K11" s="2"/>
      <c r="L11" s="2"/>
      <c r="M11" s="2"/>
    </row>
    <row r="13" spans="1:13" x14ac:dyDescent="0.45">
      <c r="C13" s="12" t="s">
        <v>201</v>
      </c>
      <c r="D13" s="13">
        <v>116051000</v>
      </c>
      <c r="E13" s="12" t="s">
        <v>202</v>
      </c>
      <c r="F13" s="14">
        <f>D11-D13</f>
        <v>1422</v>
      </c>
    </row>
  </sheetData>
  <mergeCells count="1">
    <mergeCell ref="A1:M1"/>
  </mergeCells>
  <pageMargins left="0.75" right="0.75" top="1" bottom="1" header="0.5" footer="0.5"/>
  <headerFooter>
    <oddHeader>&amp;L&amp;"Aptos"&amp;7&amp;KFF0000  &amp;1#_x000D_</oddHeader>
    <oddFooter xml:space="preserve">&amp;L_x000D_&amp;1#&amp;"Aptos"&amp;7&amp;KFF0000 RESTRICTED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sqref="A1:B1"/>
    </sheetView>
  </sheetViews>
  <sheetFormatPr defaultRowHeight="14.25" x14ac:dyDescent="0.45"/>
  <cols>
    <col min="1" max="1" width="38" customWidth="1"/>
    <col min="2" max="2" width="90" customWidth="1"/>
  </cols>
  <sheetData>
    <row r="1" spans="1:2" ht="18" x14ac:dyDescent="0.55000000000000004">
      <c r="A1" s="15" t="s">
        <v>203</v>
      </c>
      <c r="B1" s="16"/>
    </row>
    <row r="3" spans="1:2" x14ac:dyDescent="0.45">
      <c r="A3" s="1" t="s">
        <v>204</v>
      </c>
      <c r="B3" s="2">
        <v>60</v>
      </c>
    </row>
    <row r="4" spans="1:2" ht="28.5" x14ac:dyDescent="0.45">
      <c r="A4" s="1" t="s">
        <v>205</v>
      </c>
      <c r="B4" s="2" t="s">
        <v>206</v>
      </c>
    </row>
    <row r="5" spans="1:2" x14ac:dyDescent="0.45">
      <c r="A5" s="1" t="s">
        <v>207</v>
      </c>
      <c r="B5" s="2" t="s">
        <v>208</v>
      </c>
    </row>
    <row r="6" spans="1:2" ht="28.5" x14ac:dyDescent="0.45">
      <c r="A6" s="1" t="s">
        <v>209</v>
      </c>
      <c r="B6" s="2" t="s">
        <v>210</v>
      </c>
    </row>
    <row r="7" spans="1:2" x14ac:dyDescent="0.45">
      <c r="A7" s="1" t="s">
        <v>211</v>
      </c>
      <c r="B7" s="2" t="s">
        <v>212</v>
      </c>
    </row>
    <row r="8" spans="1:2" x14ac:dyDescent="0.45">
      <c r="A8" s="1" t="s">
        <v>213</v>
      </c>
      <c r="B8" s="2" t="s">
        <v>214</v>
      </c>
    </row>
    <row r="9" spans="1:2" ht="28.5" x14ac:dyDescent="0.45">
      <c r="A9" s="1" t="s">
        <v>215</v>
      </c>
      <c r="B9" s="2" t="s">
        <v>216</v>
      </c>
    </row>
    <row r="10" spans="1:2" x14ac:dyDescent="0.45">
      <c r="A10" s="1" t="s">
        <v>217</v>
      </c>
      <c r="B10" s="2" t="s">
        <v>218</v>
      </c>
    </row>
    <row r="11" spans="1:2" ht="57" x14ac:dyDescent="0.45">
      <c r="A11" s="1" t="s">
        <v>219</v>
      </c>
      <c r="B11" s="2" t="s">
        <v>220</v>
      </c>
    </row>
  </sheetData>
  <mergeCells count="1">
    <mergeCell ref="A1:B1"/>
  </mergeCells>
  <pageMargins left="0.75" right="0.75" top="1" bottom="1" header="0.5" footer="0.5"/>
  <headerFooter>
    <oddHeader>&amp;L&amp;"Aptos"&amp;7&amp;KFF0000  &amp;1#_x000D_</oddHeader>
    <oddFooter xml:space="preserve">&amp;L_x000D_&amp;1#&amp;"Aptos"&amp;7&amp;KFF0000 RESTRICTED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4"/>
  <sheetViews>
    <sheetView workbookViewId="0">
      <selection sqref="A1:B1"/>
    </sheetView>
  </sheetViews>
  <sheetFormatPr defaultRowHeight="14.25" x14ac:dyDescent="0.45"/>
  <cols>
    <col min="1" max="2" width="60" customWidth="1"/>
  </cols>
  <sheetData>
    <row r="1" spans="1:2" ht="18" x14ac:dyDescent="0.55000000000000004">
      <c r="A1" s="15" t="s">
        <v>221</v>
      </c>
      <c r="B1" s="16"/>
    </row>
    <row r="3" spans="1:2" x14ac:dyDescent="0.45">
      <c r="A3" s="17" t="s">
        <v>222</v>
      </c>
      <c r="B3" s="16"/>
    </row>
    <row r="4" spans="1:2" ht="110" customHeight="1" x14ac:dyDescent="0.45">
      <c r="A4" s="18" t="s">
        <v>223</v>
      </c>
      <c r="B4" s="16"/>
    </row>
    <row r="5" spans="1:2" x14ac:dyDescent="0.45">
      <c r="A5" s="17" t="s">
        <v>224</v>
      </c>
      <c r="B5" s="16"/>
    </row>
    <row r="6" spans="1:2" ht="110" customHeight="1" x14ac:dyDescent="0.45">
      <c r="A6" s="18" t="s">
        <v>225</v>
      </c>
      <c r="B6" s="16"/>
    </row>
    <row r="7" spans="1:2" x14ac:dyDescent="0.45">
      <c r="A7" s="17" t="s">
        <v>226</v>
      </c>
      <c r="B7" s="16"/>
    </row>
    <row r="8" spans="1:2" ht="110" customHeight="1" x14ac:dyDescent="0.45">
      <c r="A8" s="18" t="s">
        <v>227</v>
      </c>
      <c r="B8" s="16"/>
    </row>
    <row r="9" spans="1:2" x14ac:dyDescent="0.45">
      <c r="A9" s="17" t="s">
        <v>228</v>
      </c>
      <c r="B9" s="16"/>
    </row>
    <row r="10" spans="1:2" ht="110" customHeight="1" x14ac:dyDescent="0.45">
      <c r="A10" s="18" t="s">
        <v>229</v>
      </c>
      <c r="B10" s="16"/>
    </row>
    <row r="11" spans="1:2" x14ac:dyDescent="0.45">
      <c r="A11" s="17" t="s">
        <v>230</v>
      </c>
      <c r="B11" s="16"/>
    </row>
    <row r="12" spans="1:2" ht="110" customHeight="1" x14ac:dyDescent="0.45">
      <c r="A12" s="18" t="s">
        <v>231</v>
      </c>
      <c r="B12" s="16"/>
    </row>
    <row r="13" spans="1:2" x14ac:dyDescent="0.45">
      <c r="A13" s="17" t="s">
        <v>232</v>
      </c>
      <c r="B13" s="16"/>
    </row>
    <row r="14" spans="1:2" ht="110" customHeight="1" x14ac:dyDescent="0.45">
      <c r="A14" s="18" t="s">
        <v>233</v>
      </c>
      <c r="B14" s="16"/>
    </row>
  </sheetData>
  <mergeCells count="13">
    <mergeCell ref="A13:B13"/>
    <mergeCell ref="A14:B14"/>
    <mergeCell ref="A1:B1"/>
    <mergeCell ref="A9:B9"/>
    <mergeCell ref="A8:B8"/>
    <mergeCell ref="A3:B3"/>
    <mergeCell ref="A6:B6"/>
    <mergeCell ref="A12:B12"/>
    <mergeCell ref="A4:B4"/>
    <mergeCell ref="A7:B7"/>
    <mergeCell ref="A11:B11"/>
    <mergeCell ref="A10:B10"/>
    <mergeCell ref="A5:B5"/>
  </mergeCells>
  <pageMargins left="0.75" right="0.75" top="1" bottom="1" header="0.5" footer="0.5"/>
  <headerFooter>
    <oddHeader>&amp;L&amp;"Aptos"&amp;7&amp;KFF0000  &amp;1#_x000D_</oddHeader>
    <oddFooter xml:space="preserve">&amp;L_x000D_&amp;1#&amp;"Aptos"&amp;7&amp;KFF0000 RESTRICTED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Contract Summary</vt:lpstr>
      <vt:lpstr>5-Step Model</vt:lpstr>
      <vt:lpstr>Performance Obligations</vt:lpstr>
      <vt:lpstr>Delivery Milestones</vt:lpstr>
      <vt:lpstr>Invoicing Schedule</vt:lpstr>
      <vt:lpstr>Payment Terms</vt:lpstr>
      <vt:lpstr>Executive Commentary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Sambhav Jain</cp:lastModifiedBy>
  <dcterms:created xsi:type="dcterms:W3CDTF">2026-04-16T06:50:06Z</dcterms:created>
  <dcterms:modified xsi:type="dcterms:W3CDTF">2026-08-10T12:55:44Z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9ea7407-5844-49ec-aa4f-9b4135bf0609_Enabled">
    <vt:lpwstr>true</vt:lpwstr>
  </property>
  <property fmtid="{D5CDD505-2E9C-101B-9397-08002B2CF9AE}" pid="3" name="MSIP_Label_09ea7407-5844-49ec-aa4f-9b4135bf0609_SetDate">
    <vt:lpwstr>2026-05-08T06:23:14Z</vt:lpwstr>
  </property>
  <property fmtid="{D5CDD505-2E9C-101B-9397-08002B2CF9AE}" pid="4" name="MSIP_Label_09ea7407-5844-49ec-aa4f-9b4135bf0609_Method">
    <vt:lpwstr>Standard</vt:lpwstr>
  </property>
  <property fmtid="{D5CDD505-2E9C-101B-9397-08002B2CF9AE}" pid="5" name="MSIP_Label_09ea7407-5844-49ec-aa4f-9b4135bf0609_Name">
    <vt:lpwstr>Restricted-Core42</vt:lpwstr>
  </property>
  <property fmtid="{D5CDD505-2E9C-101B-9397-08002B2CF9AE}" pid="6" name="MSIP_Label_09ea7407-5844-49ec-aa4f-9b4135bf0609_SiteId">
    <vt:lpwstr>62974d97-13b6-40c9-8576-f1ab2905b6cf</vt:lpwstr>
  </property>
  <property fmtid="{D5CDD505-2E9C-101B-9397-08002B2CF9AE}" pid="7" name="MSIP_Label_09ea7407-5844-49ec-aa4f-9b4135bf0609_ActionId">
    <vt:lpwstr>d61c637f-79f8-4c79-94b7-e03b696a1140</vt:lpwstr>
  </property>
  <property fmtid="{D5CDD505-2E9C-101B-9397-08002B2CF9AE}" pid="8" name="MSIP_Label_09ea7407-5844-49ec-aa4f-9b4135bf0609_ContentBits">
    <vt:lpwstr>3</vt:lpwstr>
  </property>
  <property fmtid="{D5CDD505-2E9C-101B-9397-08002B2CF9AE}" pid="9" name="MSIP_Label_09ea7407-5844-49ec-aa4f-9b4135bf0609_Tag">
    <vt:lpwstr>10, 1, 2, 1</vt:lpwstr>
  </property>
</Properties>
</file>